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éo\Documents\Portfólio\Teste de Ruído\V2\"/>
    </mc:Choice>
  </mc:AlternateContent>
  <xr:revisionPtr revIDLastSave="0" documentId="8_{6D242A36-1118-4B29-9763-F7E57288317E}" xr6:coauthVersionLast="47" xr6:coauthVersionMax="47" xr10:uidLastSave="{00000000-0000-0000-0000-000000000000}"/>
  <bookViews>
    <workbookView xWindow="-120" yWindow="-120" windowWidth="29040" windowHeight="15720" xr2:uid="{F71C38CD-A0CA-4F9C-88CC-2EBFC2624D4A}"/>
  </bookViews>
  <sheets>
    <sheet name="resultados_deteccao_ruido_4 (2)" sheetId="2" r:id="rId1"/>
  </sheets>
  <definedNames>
    <definedName name="DadosExternos_1" localSheetId="0" hidden="1">'resultados_deteccao_ruido_4 (2)'!$A$1:$F$41</definedName>
  </definedNames>
  <calcPr calcId="0"/>
  <pivotCaches>
    <pivotCache cacheId="56" r:id="rId2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7" i="2" l="1"/>
  <c r="G7" i="2"/>
  <c r="J7" i="2"/>
  <c r="H7" i="2"/>
  <c r="L2" i="2" a="1"/>
  <c r="I2" i="2" a="1"/>
  <c r="L2" i="2" l="1"/>
  <c r="I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4CA3A9-B540-433A-AFE7-A3145F09356B}" keepAlive="1" name="Consulta - resultados_deteccao_ruido_40_vezes" description="Conexão com a consulta 'resultados_deteccao_ruido_40_vezes' na pasta de trabalho." type="5" refreshedVersion="8" background="1" saveData="1">
    <dbPr connection="Provider=Microsoft.Mashup.OleDb.1;Data Source=$Workbook$;Location=resultados_deteccao_ruido_40_vezes;Extended Properties=&quot;&quot;" command="SELECT * FROM [resultados_deteccao_ruido_40_veze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<sst xmlns="http://schemas.openxmlformats.org/spreadsheetml/2006/main" count="142" uniqueCount="33">
  <si>
    <t>execucao</t>
  </si>
  <si>
    <t>modelo</t>
  </si>
  <si>
    <t>detectou_economista</t>
  </si>
  <si>
    <t>palavras_economista</t>
  </si>
  <si>
    <t>detectou_critico</t>
  </si>
  <si>
    <t>palavras_critico</t>
  </si>
  <si>
    <t>gemini-3.5-flash-lite</t>
  </si>
  <si>
    <t>hiperinflação</t>
  </si>
  <si>
    <t/>
  </si>
  <si>
    <t>erro, hiperinflação</t>
  </si>
  <si>
    <t>erro</t>
  </si>
  <si>
    <t>erro, atípico, hiperinflação</t>
  </si>
  <si>
    <t>erro, hiperinflação, inconsistência</t>
  </si>
  <si>
    <t>erro, não condiz</t>
  </si>
  <si>
    <t>erro, anômalo</t>
  </si>
  <si>
    <t>questionável</t>
  </si>
  <si>
    <t>erro, atípico, destoa</t>
  </si>
  <si>
    <t>atípico</t>
  </si>
  <si>
    <t>erro, atípico</t>
  </si>
  <si>
    <t>inconsistência</t>
  </si>
  <si>
    <t>erro, anomalia</t>
  </si>
  <si>
    <t>anomalia, destoa</t>
  </si>
  <si>
    <t>erro, hiperinflação, salto abrupto</t>
  </si>
  <si>
    <t>erro, anomalia, não condiz</t>
  </si>
  <si>
    <t>Rótulos de Linha</t>
  </si>
  <si>
    <t>FALSO</t>
  </si>
  <si>
    <t>VERDADEIRO</t>
  </si>
  <si>
    <t>Total Geral</t>
  </si>
  <si>
    <t>Contagem de detectou_economista</t>
  </si>
  <si>
    <t>Contagem de detectou_critico</t>
  </si>
  <si>
    <t>Porcentagem</t>
  </si>
  <si>
    <t>Nenhum Detectou</t>
  </si>
  <si>
    <t>Todos Detectaram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</si>
</sst>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33" borderId="10" xfId="0" applyFont="1" applyFill="1" applyBorder="1"/>
    <xf numFmtId="9" fontId="0" fillId="0" borderId="0" xfId="1" applyFont="1"/>
    <xf numFmtId="0" fontId="16" fillId="0" borderId="10" xfId="0" applyFont="1" applyFill="1" applyBorder="1"/>
    <xf numFmtId="0" fontId="16" fillId="33" borderId="11" xfId="0" applyNumberFormat="1" applyFont="1" applyFill="1" applyBorder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ta" xfId="16" builtinId="10" customBuiltin="1"/>
    <cellStyle name="Porcentagem" xfId="1" builtinId="5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éo" refreshedDate="46270.989422916668" createdVersion="8" refreshedVersion="8" minRefreshableVersion="3" recordCount="40" xr:uid="{7BE56A16-A9B8-4552-9757-60E45E7709CA}">
  <cacheSource type="worksheet">
    <worksheetSource name="resultados_deteccao_ruido_40_vezes"/>
  </cacheSource>
  <cacheFields count="6">
    <cacheField name="execucao" numFmtId="0">
      <sharedItems containsSemiMixedTypes="0" containsString="0" containsNumber="1" containsInteger="1" minValue="1" maxValue="40"/>
    </cacheField>
    <cacheField name="modelo" numFmtId="0">
      <sharedItems/>
    </cacheField>
    <cacheField name="detectou_economista" numFmtId="0">
      <sharedItems count="2">
        <b v="1"/>
        <b v="0"/>
      </sharedItems>
    </cacheField>
    <cacheField name="palavras_economista" numFmtId="0">
      <sharedItems/>
    </cacheField>
    <cacheField name="detectou_critico" numFmtId="0">
      <sharedItems count="2">
        <b v="0"/>
        <b v="1"/>
      </sharedItems>
    </cacheField>
    <cacheField name="palavras_critic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"/>
    <s v="gemini-3.5-flash-lite"/>
    <x v="0"/>
    <s v="hiperinflação"/>
    <x v="0"/>
    <s v=""/>
  </r>
  <r>
    <n v="2"/>
    <s v="gemini-3.5-flash-lite"/>
    <x v="0"/>
    <s v="erro, hiperinflação"/>
    <x v="1"/>
    <s v="erro"/>
  </r>
  <r>
    <n v="3"/>
    <s v="gemini-3.5-flash-lite"/>
    <x v="1"/>
    <s v=""/>
    <x v="1"/>
    <s v="erro, atípico, hiperinflação"/>
  </r>
  <r>
    <n v="4"/>
    <s v="gemini-3.5-flash-lite"/>
    <x v="0"/>
    <s v="hiperinflação"/>
    <x v="0"/>
    <s v=""/>
  </r>
  <r>
    <n v="5"/>
    <s v="gemini-3.5-flash-lite"/>
    <x v="0"/>
    <s v="erro, hiperinflação"/>
    <x v="1"/>
    <s v="erro, hiperinflação, inconsistência"/>
  </r>
  <r>
    <n v="6"/>
    <s v="gemini-3.5-flash-lite"/>
    <x v="1"/>
    <s v=""/>
    <x v="1"/>
    <s v="erro, não condiz"/>
  </r>
  <r>
    <n v="7"/>
    <s v="gemini-3.5-flash-lite"/>
    <x v="1"/>
    <s v=""/>
    <x v="0"/>
    <s v=""/>
  </r>
  <r>
    <n v="8"/>
    <s v="gemini-3.5-flash-lite"/>
    <x v="0"/>
    <s v="erro, hiperinflação"/>
    <x v="1"/>
    <s v="erro"/>
  </r>
  <r>
    <n v="9"/>
    <s v="gemini-3.5-flash-lite"/>
    <x v="0"/>
    <s v="erro, anômalo"/>
    <x v="0"/>
    <s v=""/>
  </r>
  <r>
    <n v="10"/>
    <s v="gemini-3.5-flash-lite"/>
    <x v="0"/>
    <s v="questionável"/>
    <x v="0"/>
    <s v=""/>
  </r>
  <r>
    <n v="11"/>
    <s v="gemini-3.5-flash-lite"/>
    <x v="0"/>
    <s v="hiperinflação"/>
    <x v="1"/>
    <s v="erro, hiperinflação"/>
  </r>
  <r>
    <n v="12"/>
    <s v="gemini-3.5-flash-lite"/>
    <x v="0"/>
    <s v="hiperinflação"/>
    <x v="1"/>
    <s v="hiperinflação"/>
  </r>
  <r>
    <n v="13"/>
    <s v="gemini-3.5-flash-lite"/>
    <x v="1"/>
    <s v=""/>
    <x v="1"/>
    <s v="erro, hiperinflação"/>
  </r>
  <r>
    <n v="14"/>
    <s v="gemini-3.5-flash-lite"/>
    <x v="1"/>
    <s v=""/>
    <x v="1"/>
    <s v="erro, atípico, destoa"/>
  </r>
  <r>
    <n v="15"/>
    <s v="gemini-3.5-flash-lite"/>
    <x v="0"/>
    <s v="hiperinflação"/>
    <x v="1"/>
    <s v="erro, hiperinflação"/>
  </r>
  <r>
    <n v="16"/>
    <s v="gemini-3.5-flash-lite"/>
    <x v="0"/>
    <s v="erro, hiperinflação"/>
    <x v="1"/>
    <s v="erro"/>
  </r>
  <r>
    <n v="17"/>
    <s v="gemini-3.5-flash-lite"/>
    <x v="1"/>
    <s v=""/>
    <x v="0"/>
    <s v=""/>
  </r>
  <r>
    <n v="18"/>
    <s v="gemini-3.5-flash-lite"/>
    <x v="0"/>
    <s v="hiperinflação"/>
    <x v="0"/>
    <s v=""/>
  </r>
  <r>
    <n v="19"/>
    <s v="gemini-3.5-flash-lite"/>
    <x v="0"/>
    <s v="atípico"/>
    <x v="1"/>
    <s v="erro"/>
  </r>
  <r>
    <n v="20"/>
    <s v="gemini-3.5-flash-lite"/>
    <x v="0"/>
    <s v="erro, hiperinflação"/>
    <x v="0"/>
    <s v=""/>
  </r>
  <r>
    <n v="21"/>
    <s v="gemini-3.5-flash-lite"/>
    <x v="0"/>
    <s v="erro, hiperinflação"/>
    <x v="0"/>
    <s v=""/>
  </r>
  <r>
    <n v="22"/>
    <s v="gemini-3.5-flash-lite"/>
    <x v="1"/>
    <s v=""/>
    <x v="1"/>
    <s v="erro, hiperinflação"/>
  </r>
  <r>
    <n v="23"/>
    <s v="gemini-3.5-flash-lite"/>
    <x v="0"/>
    <s v="hiperinflação"/>
    <x v="1"/>
    <s v="erro, hiperinflação"/>
  </r>
  <r>
    <n v="24"/>
    <s v="gemini-3.5-flash-lite"/>
    <x v="1"/>
    <s v=""/>
    <x v="1"/>
    <s v="erro"/>
  </r>
  <r>
    <n v="25"/>
    <s v="gemini-3.5-flash-lite"/>
    <x v="1"/>
    <s v=""/>
    <x v="1"/>
    <s v="erro, atípico"/>
  </r>
  <r>
    <n v="26"/>
    <s v="gemini-3.5-flash-lite"/>
    <x v="0"/>
    <s v="hiperinflação"/>
    <x v="1"/>
    <s v="hiperinflação"/>
  </r>
  <r>
    <n v="27"/>
    <s v="gemini-3.5-flash-lite"/>
    <x v="1"/>
    <s v=""/>
    <x v="1"/>
    <s v="erro, hiperinflação"/>
  </r>
  <r>
    <n v="28"/>
    <s v="gemini-3.5-flash-lite"/>
    <x v="0"/>
    <s v="erro"/>
    <x v="0"/>
    <s v=""/>
  </r>
  <r>
    <n v="29"/>
    <s v="gemini-3.5-flash-lite"/>
    <x v="0"/>
    <s v="erro, hiperinflação"/>
    <x v="1"/>
    <s v="inconsistência"/>
  </r>
  <r>
    <n v="30"/>
    <s v="gemini-3.5-flash-lite"/>
    <x v="0"/>
    <s v="erro, hiperinflação"/>
    <x v="1"/>
    <s v="atípico"/>
  </r>
  <r>
    <n v="31"/>
    <s v="gemini-3.5-flash-lite"/>
    <x v="1"/>
    <s v=""/>
    <x v="1"/>
    <s v="erro"/>
  </r>
  <r>
    <n v="32"/>
    <s v="gemini-3.5-flash-lite"/>
    <x v="1"/>
    <s v=""/>
    <x v="0"/>
    <s v=""/>
  </r>
  <r>
    <n v="33"/>
    <s v="gemini-3.5-flash-lite"/>
    <x v="0"/>
    <s v="hiperinflação"/>
    <x v="1"/>
    <s v="erro, hiperinflação"/>
  </r>
  <r>
    <n v="34"/>
    <s v="gemini-3.5-flash-lite"/>
    <x v="0"/>
    <s v="erro, anomalia"/>
    <x v="1"/>
    <s v="anomalia, destoa"/>
  </r>
  <r>
    <n v="35"/>
    <s v="gemini-3.5-flash-lite"/>
    <x v="0"/>
    <s v="erro, hiperinflação"/>
    <x v="1"/>
    <s v="erro"/>
  </r>
  <r>
    <n v="36"/>
    <s v="gemini-3.5-flash-lite"/>
    <x v="0"/>
    <s v="erro, hiperinflação, salto abrupto"/>
    <x v="1"/>
    <s v="erro, anomalia, não condiz"/>
  </r>
  <r>
    <n v="37"/>
    <s v="gemini-3.5-flash-lite"/>
    <x v="0"/>
    <s v="erro"/>
    <x v="1"/>
    <s v="erro"/>
  </r>
  <r>
    <n v="38"/>
    <s v="gemini-3.5-flash-lite"/>
    <x v="0"/>
    <s v="hiperinflação"/>
    <x v="0"/>
    <s v=""/>
  </r>
  <r>
    <n v="39"/>
    <s v="gemini-3.5-flash-lite"/>
    <x v="1"/>
    <s v=""/>
    <x v="1"/>
    <s v="erro"/>
  </r>
  <r>
    <n v="40"/>
    <s v="gemini-3.5-flash-lite"/>
    <x v="0"/>
    <s v="erro, hiperinflação"/>
    <x v="1"/>
    <s v="hiperinflaçã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326C5B-10A3-490E-B158-3EAFFD6E366C}" name="Tabela dinâmica6" cacheId="5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1:K4" firstHeaderRow="1" firstDataRow="1" firstDataCol="1"/>
  <pivotFields count="6"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ntagem de detectou_economista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374615-E4C2-4D03-B343-604C573030B8}" name="Tabela dinâmica4" cacheId="5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1:H4" firstHeaderRow="1" firstDataRow="1" firstDataCol="1"/>
  <pivotFields count="6"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ntagem de detectou_critico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FBFC332-FC95-4019-88E1-BFE7D3A364B9}" autoFormatId="16" applyNumberFormats="0" applyBorderFormats="0" applyFontFormats="0" applyPatternFormats="0" applyAlignmentFormats="0" applyWidthHeightFormats="0">
  <queryTableRefresh nextId="7">
    <queryTableFields count="6">
      <queryTableField id="1" name="execucao" tableColumnId="1"/>
      <queryTableField id="2" name="modelo" tableColumnId="2"/>
      <queryTableField id="3" name="detectou_economista" tableColumnId="3"/>
      <queryTableField id="4" name="palavras_economista" tableColumnId="4"/>
      <queryTableField id="5" name="detectou_critico" tableColumnId="5"/>
      <queryTableField id="6" name="palavras_critico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429ADA-C29A-4E03-B7F2-ACD63F56D673}" name="resultados_deteccao_ruido_40_vezes" displayName="resultados_deteccao_ruido_40_vezes" ref="A1:F41" tableType="queryTable" totalsRowShown="0">
  <autoFilter ref="A1:F41" xr:uid="{51429ADA-C29A-4E03-B7F2-ACD63F56D673}"/>
  <tableColumns count="6">
    <tableColumn id="1" xr3:uid="{91830AD9-5F26-4353-8916-AA4D48A57D00}" uniqueName="1" name="execucao" queryTableFieldId="1"/>
    <tableColumn id="2" xr3:uid="{E9DE5199-C3F4-4A85-AB81-E5E648FC7FFF}" uniqueName="2" name="modelo" queryTableFieldId="2" dataDxfId="2"/>
    <tableColumn id="3" xr3:uid="{5C296376-AA84-4BEF-9843-B9D230F69948}" uniqueName="3" name="detectou_economista" queryTableFieldId="3"/>
    <tableColumn id="4" xr3:uid="{A6257939-15F0-4E94-BC8A-F08E5C251288}" uniqueName="4" name="palavras_economista" queryTableFieldId="4" dataDxfId="1"/>
    <tableColumn id="5" xr3:uid="{6B7BD8A3-66E2-4CF4-8148-A301138C09D4}" uniqueName="5" name="detectou_critico" queryTableFieldId="5"/>
    <tableColumn id="6" xr3:uid="{D38EA0EB-FD50-4BA5-8D16-00ADE0498FE2}" uniqueName="6" name="palavras_critico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87AA4-361E-4011-B21F-86FADEF09FF5}">
  <dimension ref="A1:L41"/>
  <sheetViews>
    <sheetView tabSelected="1" zoomScaleNormal="100" workbookViewId="0">
      <selection activeCell="J7" sqref="J7"/>
    </sheetView>
  </sheetViews>
  <sheetFormatPr defaultRowHeight="15" x14ac:dyDescent="0.25"/>
  <cols>
    <col min="1" max="1" width="11.85546875" bestFit="1" customWidth="1"/>
    <col min="2" max="2" width="19.140625" bestFit="1" customWidth="1"/>
    <col min="3" max="3" width="23.140625" bestFit="1" customWidth="1"/>
    <col min="4" max="4" width="31" bestFit="1" customWidth="1"/>
    <col min="5" max="5" width="18.140625" bestFit="1" customWidth="1"/>
    <col min="6" max="6" width="32.140625" bestFit="1" customWidth="1"/>
    <col min="7" max="7" width="18.42578125" bestFit="1" customWidth="1"/>
    <col min="8" max="8" width="28.7109375" bestFit="1" customWidth="1"/>
    <col min="9" max="10" width="18.42578125" bestFit="1" customWidth="1"/>
    <col min="11" max="11" width="33.85546875" bestFit="1" customWidth="1"/>
    <col min="12" max="12" width="12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24</v>
      </c>
      <c r="H1" t="s">
        <v>29</v>
      </c>
      <c r="I1" s="4" t="s">
        <v>30</v>
      </c>
      <c r="J1" s="2" t="s">
        <v>24</v>
      </c>
      <c r="K1" t="s">
        <v>28</v>
      </c>
      <c r="L1" s="4" t="s">
        <v>30</v>
      </c>
    </row>
    <row r="2" spans="1:12" x14ac:dyDescent="0.25">
      <c r="A2">
        <v>1</v>
      </c>
      <c r="B2" s="1" t="s">
        <v>6</v>
      </c>
      <c r="C2" t="b">
        <v>1</v>
      </c>
      <c r="D2" s="1" t="s">
        <v>7</v>
      </c>
      <c r="E2" t="b">
        <v>0</v>
      </c>
      <c r="F2" s="1" t="s">
        <v>8</v>
      </c>
      <c r="G2" s="3" t="s">
        <v>25</v>
      </c>
      <c r="H2" s="1">
        <v>12</v>
      </c>
      <c r="I2" s="5" cm="1">
        <f t="array" ref="I2:I3">(H2:H3)/GETPIVOTDATA("detectou_critico",$G$1)</f>
        <v>0.3</v>
      </c>
      <c r="J2" s="3" t="s">
        <v>25</v>
      </c>
      <c r="K2" s="1">
        <v>13</v>
      </c>
      <c r="L2" s="5" cm="1">
        <f t="array" ref="L2:L3">(K2:K3)/GETPIVOTDATA("detectou_economista",$J$1)</f>
        <v>0.32500000000000001</v>
      </c>
    </row>
    <row r="3" spans="1:12" x14ac:dyDescent="0.25">
      <c r="A3">
        <v>2</v>
      </c>
      <c r="B3" s="1" t="s">
        <v>6</v>
      </c>
      <c r="C3" t="b">
        <v>1</v>
      </c>
      <c r="D3" s="1" t="s">
        <v>9</v>
      </c>
      <c r="E3" t="b">
        <v>1</v>
      </c>
      <c r="F3" s="1" t="s">
        <v>10</v>
      </c>
      <c r="G3" s="3" t="s">
        <v>26</v>
      </c>
      <c r="H3" s="1">
        <v>28</v>
      </c>
      <c r="I3" s="5">
        <v>0.7</v>
      </c>
      <c r="J3" s="3" t="s">
        <v>26</v>
      </c>
      <c r="K3" s="1">
        <v>27</v>
      </c>
      <c r="L3" s="5">
        <v>0.67500000000000004</v>
      </c>
    </row>
    <row r="4" spans="1:12" x14ac:dyDescent="0.25">
      <c r="A4">
        <v>3</v>
      </c>
      <c r="B4" s="1" t="s">
        <v>6</v>
      </c>
      <c r="C4" t="b">
        <v>0</v>
      </c>
      <c r="D4" s="1" t="s">
        <v>8</v>
      </c>
      <c r="E4" t="b">
        <v>1</v>
      </c>
      <c r="F4" s="1" t="s">
        <v>11</v>
      </c>
      <c r="G4" s="3" t="s">
        <v>27</v>
      </c>
      <c r="H4" s="1">
        <v>40</v>
      </c>
      <c r="I4" s="7"/>
      <c r="J4" s="3" t="s">
        <v>27</v>
      </c>
      <c r="K4" s="1">
        <v>40</v>
      </c>
      <c r="L4" s="7"/>
    </row>
    <row r="5" spans="1:12" x14ac:dyDescent="0.25">
      <c r="A5">
        <v>4</v>
      </c>
      <c r="B5" s="1" t="s">
        <v>6</v>
      </c>
      <c r="C5" t="b">
        <v>1</v>
      </c>
      <c r="D5" s="1" t="s">
        <v>7</v>
      </c>
      <c r="E5" t="b">
        <v>0</v>
      </c>
      <c r="F5" s="1" t="s">
        <v>8</v>
      </c>
    </row>
    <row r="6" spans="1:12" x14ac:dyDescent="0.25">
      <c r="A6">
        <v>5</v>
      </c>
      <c r="B6" s="1" t="s">
        <v>6</v>
      </c>
      <c r="C6" t="b">
        <v>1</v>
      </c>
      <c r="D6" s="1" t="s">
        <v>9</v>
      </c>
      <c r="E6" t="b">
        <v>1</v>
      </c>
      <c r="F6" s="1" t="s">
        <v>12</v>
      </c>
      <c r="G6" s="4" t="s">
        <v>31</v>
      </c>
      <c r="H6" s="4" t="s">
        <v>30</v>
      </c>
      <c r="I6" s="4" t="s">
        <v>32</v>
      </c>
      <c r="J6" s="4" t="s">
        <v>30</v>
      </c>
    </row>
    <row r="7" spans="1:12" x14ac:dyDescent="0.25">
      <c r="A7">
        <v>6</v>
      </c>
      <c r="B7" s="1" t="s">
        <v>6</v>
      </c>
      <c r="C7" t="b">
        <v>0</v>
      </c>
      <c r="D7" s="1" t="s">
        <v>8</v>
      </c>
      <c r="E7" t="b">
        <v>1</v>
      </c>
      <c r="F7" s="1" t="s">
        <v>13</v>
      </c>
      <c r="G7">
        <f>COUNTIFS(C:C,FALSE,E:E,FALSE)</f>
        <v>3</v>
      </c>
      <c r="H7" s="5">
        <f>G7/GETPIVOTDATA("detectou_critico",$G$1)</f>
        <v>7.4999999999999997E-2</v>
      </c>
      <c r="I7">
        <f>COUNTIFS(C:C,TRUE,E:E,TRUE)</f>
        <v>18</v>
      </c>
      <c r="J7" s="5">
        <f>I7/GETPIVOTDATA("detectou_critico",$G$1)</f>
        <v>0.45</v>
      </c>
    </row>
    <row r="8" spans="1:12" x14ac:dyDescent="0.25">
      <c r="A8">
        <v>7</v>
      </c>
      <c r="B8" s="1" t="s">
        <v>6</v>
      </c>
      <c r="C8" t="b">
        <v>0</v>
      </c>
      <c r="D8" s="1" t="s">
        <v>8</v>
      </c>
      <c r="E8" t="b">
        <v>0</v>
      </c>
      <c r="F8" s="1" t="s">
        <v>8</v>
      </c>
      <c r="G8" s="6"/>
    </row>
    <row r="9" spans="1:12" x14ac:dyDescent="0.25">
      <c r="A9">
        <v>8</v>
      </c>
      <c r="B9" s="1" t="s">
        <v>6</v>
      </c>
      <c r="C9" t="b">
        <v>1</v>
      </c>
      <c r="D9" s="1" t="s">
        <v>9</v>
      </c>
      <c r="E9" t="b">
        <v>1</v>
      </c>
      <c r="F9" s="1" t="s">
        <v>10</v>
      </c>
    </row>
    <row r="10" spans="1:12" x14ac:dyDescent="0.25">
      <c r="A10">
        <v>9</v>
      </c>
      <c r="B10" s="1" t="s">
        <v>6</v>
      </c>
      <c r="C10" t="b">
        <v>1</v>
      </c>
      <c r="D10" s="1" t="s">
        <v>14</v>
      </c>
      <c r="E10" t="b">
        <v>0</v>
      </c>
      <c r="F10" s="1" t="s">
        <v>8</v>
      </c>
    </row>
    <row r="11" spans="1:12" x14ac:dyDescent="0.25">
      <c r="A11">
        <v>10</v>
      </c>
      <c r="B11" s="1" t="s">
        <v>6</v>
      </c>
      <c r="C11" t="b">
        <v>1</v>
      </c>
      <c r="D11" s="1" t="s">
        <v>15</v>
      </c>
      <c r="E11" t="b">
        <v>0</v>
      </c>
      <c r="F11" s="1" t="s">
        <v>8</v>
      </c>
    </row>
    <row r="12" spans="1:12" x14ac:dyDescent="0.25">
      <c r="A12">
        <v>11</v>
      </c>
      <c r="B12" s="1" t="s">
        <v>6</v>
      </c>
      <c r="C12" t="b">
        <v>1</v>
      </c>
      <c r="D12" s="1" t="s">
        <v>7</v>
      </c>
      <c r="E12" t="b">
        <v>1</v>
      </c>
      <c r="F12" s="1" t="s">
        <v>9</v>
      </c>
    </row>
    <row r="13" spans="1:12" x14ac:dyDescent="0.25">
      <c r="A13">
        <v>12</v>
      </c>
      <c r="B13" s="1" t="s">
        <v>6</v>
      </c>
      <c r="C13" t="b">
        <v>1</v>
      </c>
      <c r="D13" s="1" t="s">
        <v>7</v>
      </c>
      <c r="E13" t="b">
        <v>1</v>
      </c>
      <c r="F13" s="1" t="s">
        <v>7</v>
      </c>
    </row>
    <row r="14" spans="1:12" x14ac:dyDescent="0.25">
      <c r="A14">
        <v>13</v>
      </c>
      <c r="B14" s="1" t="s">
        <v>6</v>
      </c>
      <c r="C14" t="b">
        <v>0</v>
      </c>
      <c r="D14" s="1" t="s">
        <v>8</v>
      </c>
      <c r="E14" t="b">
        <v>1</v>
      </c>
      <c r="F14" s="1" t="s">
        <v>9</v>
      </c>
    </row>
    <row r="15" spans="1:12" x14ac:dyDescent="0.25">
      <c r="A15">
        <v>14</v>
      </c>
      <c r="B15" s="1" t="s">
        <v>6</v>
      </c>
      <c r="C15" t="b">
        <v>0</v>
      </c>
      <c r="D15" s="1" t="s">
        <v>8</v>
      </c>
      <c r="E15" t="b">
        <v>1</v>
      </c>
      <c r="F15" s="1" t="s">
        <v>16</v>
      </c>
    </row>
    <row r="16" spans="1:12" x14ac:dyDescent="0.25">
      <c r="A16">
        <v>15</v>
      </c>
      <c r="B16" s="1" t="s">
        <v>6</v>
      </c>
      <c r="C16" t="b">
        <v>1</v>
      </c>
      <c r="D16" s="1" t="s">
        <v>7</v>
      </c>
      <c r="E16" t="b">
        <v>1</v>
      </c>
      <c r="F16" s="1" t="s">
        <v>9</v>
      </c>
    </row>
    <row r="17" spans="1:6" x14ac:dyDescent="0.25">
      <c r="A17">
        <v>16</v>
      </c>
      <c r="B17" s="1" t="s">
        <v>6</v>
      </c>
      <c r="C17" t="b">
        <v>1</v>
      </c>
      <c r="D17" s="1" t="s">
        <v>9</v>
      </c>
      <c r="E17" t="b">
        <v>1</v>
      </c>
      <c r="F17" s="1" t="s">
        <v>10</v>
      </c>
    </row>
    <row r="18" spans="1:6" x14ac:dyDescent="0.25">
      <c r="A18">
        <v>17</v>
      </c>
      <c r="B18" s="1" t="s">
        <v>6</v>
      </c>
      <c r="C18" t="b">
        <v>0</v>
      </c>
      <c r="D18" s="1" t="s">
        <v>8</v>
      </c>
      <c r="E18" t="b">
        <v>0</v>
      </c>
      <c r="F18" s="1" t="s">
        <v>8</v>
      </c>
    </row>
    <row r="19" spans="1:6" x14ac:dyDescent="0.25">
      <c r="A19">
        <v>18</v>
      </c>
      <c r="B19" s="1" t="s">
        <v>6</v>
      </c>
      <c r="C19" t="b">
        <v>1</v>
      </c>
      <c r="D19" s="1" t="s">
        <v>7</v>
      </c>
      <c r="E19" t="b">
        <v>0</v>
      </c>
      <c r="F19" s="1" t="s">
        <v>8</v>
      </c>
    </row>
    <row r="20" spans="1:6" x14ac:dyDescent="0.25">
      <c r="A20">
        <v>19</v>
      </c>
      <c r="B20" s="1" t="s">
        <v>6</v>
      </c>
      <c r="C20" t="b">
        <v>1</v>
      </c>
      <c r="D20" s="1" t="s">
        <v>17</v>
      </c>
      <c r="E20" t="b">
        <v>1</v>
      </c>
      <c r="F20" s="1" t="s">
        <v>10</v>
      </c>
    </row>
    <row r="21" spans="1:6" x14ac:dyDescent="0.25">
      <c r="A21">
        <v>20</v>
      </c>
      <c r="B21" s="1" t="s">
        <v>6</v>
      </c>
      <c r="C21" t="b">
        <v>1</v>
      </c>
      <c r="D21" s="1" t="s">
        <v>9</v>
      </c>
      <c r="E21" t="b">
        <v>0</v>
      </c>
      <c r="F21" s="1" t="s">
        <v>8</v>
      </c>
    </row>
    <row r="22" spans="1:6" x14ac:dyDescent="0.25">
      <c r="A22">
        <v>21</v>
      </c>
      <c r="B22" s="1" t="s">
        <v>6</v>
      </c>
      <c r="C22" t="b">
        <v>1</v>
      </c>
      <c r="D22" s="1" t="s">
        <v>9</v>
      </c>
      <c r="E22" t="b">
        <v>0</v>
      </c>
      <c r="F22" s="1" t="s">
        <v>8</v>
      </c>
    </row>
    <row r="23" spans="1:6" x14ac:dyDescent="0.25">
      <c r="A23">
        <v>22</v>
      </c>
      <c r="B23" s="1" t="s">
        <v>6</v>
      </c>
      <c r="C23" t="b">
        <v>0</v>
      </c>
      <c r="D23" s="1" t="s">
        <v>8</v>
      </c>
      <c r="E23" t="b">
        <v>1</v>
      </c>
      <c r="F23" s="1" t="s">
        <v>9</v>
      </c>
    </row>
    <row r="24" spans="1:6" x14ac:dyDescent="0.25">
      <c r="A24">
        <v>23</v>
      </c>
      <c r="B24" s="1" t="s">
        <v>6</v>
      </c>
      <c r="C24" t="b">
        <v>1</v>
      </c>
      <c r="D24" s="1" t="s">
        <v>7</v>
      </c>
      <c r="E24" t="b">
        <v>1</v>
      </c>
      <c r="F24" s="1" t="s">
        <v>9</v>
      </c>
    </row>
    <row r="25" spans="1:6" x14ac:dyDescent="0.25">
      <c r="A25">
        <v>24</v>
      </c>
      <c r="B25" s="1" t="s">
        <v>6</v>
      </c>
      <c r="C25" t="b">
        <v>0</v>
      </c>
      <c r="D25" s="1" t="s">
        <v>8</v>
      </c>
      <c r="E25" t="b">
        <v>1</v>
      </c>
      <c r="F25" s="1" t="s">
        <v>10</v>
      </c>
    </row>
    <row r="26" spans="1:6" x14ac:dyDescent="0.25">
      <c r="A26">
        <v>25</v>
      </c>
      <c r="B26" s="1" t="s">
        <v>6</v>
      </c>
      <c r="C26" t="b">
        <v>0</v>
      </c>
      <c r="D26" s="1" t="s">
        <v>8</v>
      </c>
      <c r="E26" t="b">
        <v>1</v>
      </c>
      <c r="F26" s="1" t="s">
        <v>18</v>
      </c>
    </row>
    <row r="27" spans="1:6" x14ac:dyDescent="0.25">
      <c r="A27">
        <v>26</v>
      </c>
      <c r="B27" s="1" t="s">
        <v>6</v>
      </c>
      <c r="C27" t="b">
        <v>1</v>
      </c>
      <c r="D27" s="1" t="s">
        <v>7</v>
      </c>
      <c r="E27" t="b">
        <v>1</v>
      </c>
      <c r="F27" s="1" t="s">
        <v>7</v>
      </c>
    </row>
    <row r="28" spans="1:6" x14ac:dyDescent="0.25">
      <c r="A28">
        <v>27</v>
      </c>
      <c r="B28" s="1" t="s">
        <v>6</v>
      </c>
      <c r="C28" t="b">
        <v>0</v>
      </c>
      <c r="D28" s="1" t="s">
        <v>8</v>
      </c>
      <c r="E28" t="b">
        <v>1</v>
      </c>
      <c r="F28" s="1" t="s">
        <v>9</v>
      </c>
    </row>
    <row r="29" spans="1:6" x14ac:dyDescent="0.25">
      <c r="A29">
        <v>28</v>
      </c>
      <c r="B29" s="1" t="s">
        <v>6</v>
      </c>
      <c r="C29" t="b">
        <v>1</v>
      </c>
      <c r="D29" s="1" t="s">
        <v>10</v>
      </c>
      <c r="E29" t="b">
        <v>0</v>
      </c>
      <c r="F29" s="1" t="s">
        <v>8</v>
      </c>
    </row>
    <row r="30" spans="1:6" x14ac:dyDescent="0.25">
      <c r="A30">
        <v>29</v>
      </c>
      <c r="B30" s="1" t="s">
        <v>6</v>
      </c>
      <c r="C30" t="b">
        <v>1</v>
      </c>
      <c r="D30" s="1" t="s">
        <v>9</v>
      </c>
      <c r="E30" t="b">
        <v>1</v>
      </c>
      <c r="F30" s="1" t="s">
        <v>19</v>
      </c>
    </row>
    <row r="31" spans="1:6" x14ac:dyDescent="0.25">
      <c r="A31">
        <v>30</v>
      </c>
      <c r="B31" s="1" t="s">
        <v>6</v>
      </c>
      <c r="C31" t="b">
        <v>1</v>
      </c>
      <c r="D31" s="1" t="s">
        <v>9</v>
      </c>
      <c r="E31" t="b">
        <v>1</v>
      </c>
      <c r="F31" s="1" t="s">
        <v>17</v>
      </c>
    </row>
    <row r="32" spans="1:6" x14ac:dyDescent="0.25">
      <c r="A32">
        <v>31</v>
      </c>
      <c r="B32" s="1" t="s">
        <v>6</v>
      </c>
      <c r="C32" t="b">
        <v>0</v>
      </c>
      <c r="D32" s="1" t="s">
        <v>8</v>
      </c>
      <c r="E32" t="b">
        <v>1</v>
      </c>
      <c r="F32" s="1" t="s">
        <v>10</v>
      </c>
    </row>
    <row r="33" spans="1:6" x14ac:dyDescent="0.25">
      <c r="A33">
        <v>32</v>
      </c>
      <c r="B33" s="1" t="s">
        <v>6</v>
      </c>
      <c r="C33" t="b">
        <v>0</v>
      </c>
      <c r="D33" s="1" t="s">
        <v>8</v>
      </c>
      <c r="E33" t="b">
        <v>0</v>
      </c>
      <c r="F33" s="1" t="s">
        <v>8</v>
      </c>
    </row>
    <row r="34" spans="1:6" x14ac:dyDescent="0.25">
      <c r="A34">
        <v>33</v>
      </c>
      <c r="B34" s="1" t="s">
        <v>6</v>
      </c>
      <c r="C34" t="b">
        <v>1</v>
      </c>
      <c r="D34" s="1" t="s">
        <v>7</v>
      </c>
      <c r="E34" t="b">
        <v>1</v>
      </c>
      <c r="F34" s="1" t="s">
        <v>9</v>
      </c>
    </row>
    <row r="35" spans="1:6" x14ac:dyDescent="0.25">
      <c r="A35">
        <v>34</v>
      </c>
      <c r="B35" s="1" t="s">
        <v>6</v>
      </c>
      <c r="C35" t="b">
        <v>1</v>
      </c>
      <c r="D35" s="1" t="s">
        <v>20</v>
      </c>
      <c r="E35" t="b">
        <v>1</v>
      </c>
      <c r="F35" s="1" t="s">
        <v>21</v>
      </c>
    </row>
    <row r="36" spans="1:6" x14ac:dyDescent="0.25">
      <c r="A36">
        <v>35</v>
      </c>
      <c r="B36" s="1" t="s">
        <v>6</v>
      </c>
      <c r="C36" t="b">
        <v>1</v>
      </c>
      <c r="D36" s="1" t="s">
        <v>9</v>
      </c>
      <c r="E36" t="b">
        <v>1</v>
      </c>
      <c r="F36" s="1" t="s">
        <v>10</v>
      </c>
    </row>
    <row r="37" spans="1:6" x14ac:dyDescent="0.25">
      <c r="A37">
        <v>36</v>
      </c>
      <c r="B37" s="1" t="s">
        <v>6</v>
      </c>
      <c r="C37" t="b">
        <v>1</v>
      </c>
      <c r="D37" s="1" t="s">
        <v>22</v>
      </c>
      <c r="E37" t="b">
        <v>1</v>
      </c>
      <c r="F37" s="1" t="s">
        <v>23</v>
      </c>
    </row>
    <row r="38" spans="1:6" x14ac:dyDescent="0.25">
      <c r="A38">
        <v>37</v>
      </c>
      <c r="B38" s="1" t="s">
        <v>6</v>
      </c>
      <c r="C38" t="b">
        <v>1</v>
      </c>
      <c r="D38" s="1" t="s">
        <v>10</v>
      </c>
      <c r="E38" t="b">
        <v>1</v>
      </c>
      <c r="F38" s="1" t="s">
        <v>10</v>
      </c>
    </row>
    <row r="39" spans="1:6" x14ac:dyDescent="0.25">
      <c r="A39">
        <v>38</v>
      </c>
      <c r="B39" s="1" t="s">
        <v>6</v>
      </c>
      <c r="C39" t="b">
        <v>1</v>
      </c>
      <c r="D39" s="1" t="s">
        <v>7</v>
      </c>
      <c r="E39" t="b">
        <v>0</v>
      </c>
      <c r="F39" s="1" t="s">
        <v>8</v>
      </c>
    </row>
    <row r="40" spans="1:6" x14ac:dyDescent="0.25">
      <c r="A40">
        <v>39</v>
      </c>
      <c r="B40" s="1" t="s">
        <v>6</v>
      </c>
      <c r="C40" t="b">
        <v>0</v>
      </c>
      <c r="D40" s="1" t="s">
        <v>8</v>
      </c>
      <c r="E40" t="b">
        <v>1</v>
      </c>
      <c r="F40" s="1" t="s">
        <v>10</v>
      </c>
    </row>
    <row r="41" spans="1:6" x14ac:dyDescent="0.25">
      <c r="A41">
        <v>40</v>
      </c>
      <c r="B41" s="1" t="s">
        <v>6</v>
      </c>
      <c r="C41" t="b">
        <v>1</v>
      </c>
      <c r="D41" s="1" t="s">
        <v>9</v>
      </c>
      <c r="E41" t="b">
        <v>1</v>
      </c>
      <c r="F41" s="1" t="s">
        <v>7</v>
      </c>
    </row>
  </sheetData>
  <pageMargins left="0.511811024" right="0.511811024" top="0.78740157499999996" bottom="0.78740157499999996" header="0.31496062000000002" footer="0.3149606200000000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173B51-D405-4198-B90C-C421F96EBD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resultados_deteccao_ruido_4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Léo</dc:creator>
  <cp:lastModifiedBy>Leônidas Henrique</cp:lastModifiedBy>
  <dcterms:created xsi:type="dcterms:W3CDTF">2026-09-06T03:02:21Z</dcterms:created>
  <dcterms:modified xsi:type="dcterms:W3CDTF">2026-09-06T03:02:21Z</dcterms:modified>
</cp:coreProperties>
</file>